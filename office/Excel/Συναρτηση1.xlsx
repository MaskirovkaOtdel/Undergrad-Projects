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Φύλλο1" sheetId="1" r:id="rId1"/>
    <sheet name="Φύλλο2" sheetId="2" r:id="rId2"/>
    <sheet name="Φύλλο3" sheetId="3" r:id="rId3"/>
  </sheets>
  <calcPr calcId="145621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3" i="1"/>
  <c r="C22" i="1" l="1"/>
  <c r="B22" i="1"/>
  <c r="C21" i="1"/>
  <c r="B21" i="1"/>
  <c r="C20" i="1"/>
  <c r="B20" i="1"/>
  <c r="D4" i="1"/>
  <c r="D16" i="1"/>
  <c r="D17" i="1"/>
  <c r="D18" i="1"/>
  <c r="D19" i="1"/>
  <c r="D5" i="1"/>
  <c r="D22" i="1" s="1"/>
  <c r="D6" i="1"/>
  <c r="D7" i="1"/>
  <c r="D21" i="1" s="1"/>
  <c r="D8" i="1"/>
  <c r="D9" i="1"/>
  <c r="D10" i="1"/>
  <c r="D11" i="1"/>
  <c r="D12" i="1"/>
  <c r="D13" i="1"/>
  <c r="D14" i="1"/>
  <c r="D3" i="1"/>
  <c r="C19" i="1"/>
  <c r="C18" i="1"/>
  <c r="C17" i="1"/>
  <c r="C16" i="1"/>
  <c r="B19" i="1"/>
  <c r="B18" i="1"/>
  <c r="B17" i="1"/>
  <c r="D20" i="1" l="1"/>
  <c r="B16" i="1"/>
</calcChain>
</file>

<file path=xl/sharedStrings.xml><?xml version="1.0" encoding="utf-8"?>
<sst xmlns="http://schemas.openxmlformats.org/spreadsheetml/2006/main" count="24" uniqueCount="24">
  <si>
    <t>ΙΑΝΟΥΑΡΙΟΣ</t>
  </si>
  <si>
    <t>ΦΕΒΡΟΥΑΡΙΟΣ</t>
  </si>
  <si>
    <t>ΜΑΡΤΙΟΣ</t>
  </si>
  <si>
    <t>ΑΠΡΙΛΙΟΣ</t>
  </si>
  <si>
    <t>ΜΑΙΟΣ</t>
  </si>
  <si>
    <t>ΙΟΥΝΙΟΣ</t>
  </si>
  <si>
    <t>ΙΟΥΛΙΟΣ</t>
  </si>
  <si>
    <t>ΑΥΓΟΥΣΤΟΣ</t>
  </si>
  <si>
    <t>ΣΕΠΤΕΜΒΡΙΟΣ</t>
  </si>
  <si>
    <t>ΟΚΤΩΒΡΙΟΣ</t>
  </si>
  <si>
    <t>ΝΟΕΜΒΡΙΟΣ</t>
  </si>
  <si>
    <t>ΔΕΚΕΜΒΡΙΟΣ</t>
  </si>
  <si>
    <t>ΜΗΝΕΣ</t>
  </si>
  <si>
    <t>ΕΣΟΔΑ</t>
  </si>
  <si>
    <t>ΣΥΝΟΛΟ Α ΤΡΙΜΗΝΟΥ</t>
  </si>
  <si>
    <t>ΣΥΝΟΛΟ Β ΤΡΙΜΗΝΟΥ</t>
  </si>
  <si>
    <t>ΣΥΝΟΛΟ Δ ΤΡΙΜΗΝΟΥ</t>
  </si>
  <si>
    <t>ΣΥΝΟΛΟ Γ ΤΡΙΜΗΝΟΥ</t>
  </si>
  <si>
    <t>ΕΞΟΔΑ</t>
  </si>
  <si>
    <t>ΥΠΟΛΟΙΠΟ</t>
  </si>
  <si>
    <t>ΜΕΣΗ ΤΙΜΗ ΕΤΟΥΣ</t>
  </si>
  <si>
    <t>ΜΕΓΑΛΥΤΕΡΗ ΤΙΜΗ</t>
  </si>
  <si>
    <t>ΜΙΚΡΟΤΕΡΗ ΤΙΜΗ</t>
  </si>
  <si>
    <t>ΟΙΚΟΝΟΜΙΚΟΣ ΙΣΟΛΟΓΙΣΜΟΣ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</si>
</sst>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#,##0.00\ &quot;€&quot;;[Red]\-#,##0.00\ &quot;€&quot;"/>
    <numFmt numFmtId="164" formatCode="#,##0.00\ &quot;€&quot;"/>
  </numFmts>
  <fonts count="3" x14ac:knownFonts="1">
    <font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b/>
      <i/>
      <sz val="11"/>
      <color theme="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8" fontId="0" fillId="0" borderId="0" xfId="0" applyNumberForma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l-GR"/>
              <a:t>Α'</a:t>
            </a:r>
            <a:r>
              <a:rPr lang="el-GR" baseline="0"/>
              <a:t> Τρίμηνο 2024</a:t>
            </a:r>
            <a:endParaRPr lang="el-GR"/>
          </a:p>
        </c:rich>
      </c:tx>
      <c:layout/>
      <c:overlay val="0"/>
    </c:title>
    <c:autoTitleDeleted val="0"/>
    <c:view3D>
      <c:rotX val="10"/>
      <c:rotY val="20"/>
      <c:rAngAx val="1"/>
    </c:view3D>
    <c:floor>
      <c:thickness val="0"/>
    </c:floor>
    <c:sideWall>
      <c:thickness val="0"/>
      <c:spPr>
        <a:solidFill>
          <a:schemeClr val="bg1">
            <a:lumMod val="95000"/>
          </a:schemeClr>
        </a:solidFill>
      </c:spPr>
    </c:sideWall>
    <c:backWall>
      <c:thickness val="0"/>
      <c:spPr>
        <a:solidFill>
          <a:schemeClr val="bg1">
            <a:lumMod val="95000"/>
          </a:schemeClr>
        </a:solidFill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Φύλλο1!$B$2</c:f>
              <c:strCache>
                <c:ptCount val="1"/>
                <c:pt idx="0">
                  <c:v>ΕΣΟΔΑ</c:v>
                </c:pt>
              </c:strCache>
            </c:strRef>
          </c:tx>
          <c:invertIfNegative val="0"/>
          <c:cat>
            <c:strRef>
              <c:f>Φύλλο1!$A$3:$A$5</c:f>
              <c:strCache>
                <c:ptCount val="3"/>
                <c:pt idx="0">
                  <c:v>ΙΑΝΟΥΑΡΙΟΣ</c:v>
                </c:pt>
                <c:pt idx="1">
                  <c:v>ΦΕΒΡΟΥΑΡΙΟΣ</c:v>
                </c:pt>
                <c:pt idx="2">
                  <c:v>ΜΑΡΤΙΟΣ</c:v>
                </c:pt>
              </c:strCache>
            </c:strRef>
          </c:cat>
          <c:val>
            <c:numRef>
              <c:f>Φύλλο1!$B$3:$B$5</c:f>
              <c:numCache>
                <c:formatCode>#,##0.00\ "€"</c:formatCode>
                <c:ptCount val="3"/>
                <c:pt idx="0">
                  <c:v>100</c:v>
                </c:pt>
                <c:pt idx="1">
                  <c:v>110</c:v>
                </c:pt>
                <c:pt idx="2">
                  <c:v>90</c:v>
                </c:pt>
              </c:numCache>
            </c:numRef>
          </c:val>
        </c:ser>
        <c:ser>
          <c:idx val="1"/>
          <c:order val="1"/>
          <c:tx>
            <c:strRef>
              <c:f>Φύλλο1!$C$2</c:f>
              <c:strCache>
                <c:ptCount val="1"/>
                <c:pt idx="0">
                  <c:v>ΕΞΟΔΑ</c:v>
                </c:pt>
              </c:strCache>
            </c:strRef>
          </c:tx>
          <c:invertIfNegative val="0"/>
          <c:cat>
            <c:strRef>
              <c:f>Φύλλο1!$A$3:$A$5</c:f>
              <c:strCache>
                <c:ptCount val="3"/>
                <c:pt idx="0">
                  <c:v>ΙΑΝΟΥΑΡΙΟΣ</c:v>
                </c:pt>
                <c:pt idx="1">
                  <c:v>ΦΕΒΡΟΥΑΡΙΟΣ</c:v>
                </c:pt>
                <c:pt idx="2">
                  <c:v>ΜΑΡΤΙΟΣ</c:v>
                </c:pt>
              </c:strCache>
            </c:strRef>
          </c:cat>
          <c:val>
            <c:numRef>
              <c:f>Φύλλο1!$C$3:$C$5</c:f>
              <c:numCache>
                <c:formatCode>#,##0.00\ "€"</c:formatCode>
                <c:ptCount val="3"/>
                <c:pt idx="0">
                  <c:v>90</c:v>
                </c:pt>
                <c:pt idx="1">
                  <c:v>120</c:v>
                </c:pt>
                <c:pt idx="2">
                  <c:v>105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809920"/>
        <c:axId val="137811456"/>
        <c:axId val="220135424"/>
      </c:bar3DChart>
      <c:catAx>
        <c:axId val="137809920"/>
        <c:scaling>
          <c:orientation val="minMax"/>
        </c:scaling>
        <c:delete val="0"/>
        <c:axPos val="b"/>
        <c:majorTickMark val="out"/>
        <c:minorTickMark val="none"/>
        <c:tickLblPos val="nextTo"/>
        <c:crossAx val="137811456"/>
        <c:crosses val="autoZero"/>
        <c:auto val="1"/>
        <c:lblAlgn val="ctr"/>
        <c:lblOffset val="100"/>
        <c:noMultiLvlLbl val="0"/>
      </c:catAx>
      <c:valAx>
        <c:axId val="137811456"/>
        <c:scaling>
          <c:orientation val="minMax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numFmt formatCode="#,##0.00\ &quot;€&quot;" sourceLinked="1"/>
        <c:majorTickMark val="out"/>
        <c:minorTickMark val="none"/>
        <c:tickLblPos val="nextTo"/>
        <c:crossAx val="137809920"/>
        <c:crosses val="autoZero"/>
        <c:crossBetween val="between"/>
      </c:valAx>
      <c:serAx>
        <c:axId val="220135424"/>
        <c:scaling>
          <c:orientation val="minMax"/>
        </c:scaling>
        <c:delete val="0"/>
        <c:axPos val="b"/>
        <c:majorTickMark val="out"/>
        <c:minorTickMark val="none"/>
        <c:tickLblPos val="nextTo"/>
        <c:crossAx val="137811456"/>
      </c:ser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l-G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l-GR"/>
              <a:t>Α'</a:t>
            </a:r>
            <a:r>
              <a:rPr lang="el-GR" baseline="0"/>
              <a:t> Τρίμηνο 2024</a:t>
            </a:r>
            <a:endParaRPr lang="el-GR"/>
          </a:p>
        </c:rich>
      </c:tx>
      <c:layout/>
      <c:overlay val="0"/>
    </c:title>
    <c:autoTitleDeleted val="0"/>
    <c:view3D>
      <c:rotX val="15"/>
      <c:rotY val="0"/>
      <c:rAngAx val="1"/>
    </c:view3D>
    <c:floor>
      <c:thickness val="0"/>
    </c:floor>
    <c:sideWall>
      <c:thickness val="0"/>
      <c:spPr>
        <a:solidFill>
          <a:schemeClr val="bg1">
            <a:lumMod val="95000"/>
          </a:schemeClr>
        </a:solidFill>
      </c:spPr>
    </c:sideWall>
    <c:backWall>
      <c:thickness val="0"/>
      <c:spPr>
        <a:solidFill>
          <a:schemeClr val="bg1">
            <a:lumMod val="95000"/>
          </a:schemeClr>
        </a:solidFill>
      </c:spPr>
    </c:backWall>
    <c:plotArea>
      <c:layout/>
      <c:pie3DChart>
        <c:varyColors val="1"/>
        <c:ser>
          <c:idx val="0"/>
          <c:order val="0"/>
          <c:tx>
            <c:strRef>
              <c:f>Φύλλο1!$B$2</c:f>
              <c:strCache>
                <c:ptCount val="1"/>
                <c:pt idx="0">
                  <c:v>ΕΣΟΔΑ</c:v>
                </c:pt>
              </c:strCache>
            </c:strRef>
          </c:tx>
          <c:dLbls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</c:dLbls>
          <c:cat>
            <c:strRef>
              <c:f>Φύλλο1!$A$3:$A$5</c:f>
              <c:strCache>
                <c:ptCount val="3"/>
                <c:pt idx="0">
                  <c:v>ΙΑΝΟΥΑΡΙΟΣ</c:v>
                </c:pt>
                <c:pt idx="1">
                  <c:v>ΦΕΒΡΟΥΑΡΙΟΣ</c:v>
                </c:pt>
                <c:pt idx="2">
                  <c:v>ΜΑΡΤΙΟΣ</c:v>
                </c:pt>
              </c:strCache>
            </c:strRef>
          </c:cat>
          <c:val>
            <c:numRef>
              <c:f>Φύλλο1!$B$3:$B$5</c:f>
              <c:numCache>
                <c:formatCode>#,##0.00\ "€"</c:formatCode>
                <c:ptCount val="3"/>
                <c:pt idx="0">
                  <c:v>100</c:v>
                </c:pt>
                <c:pt idx="1">
                  <c:v>110</c:v>
                </c:pt>
                <c:pt idx="2">
                  <c:v>90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l-G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0</xdr:row>
      <xdr:rowOff>55562</xdr:rowOff>
    </xdr:from>
    <xdr:to>
      <xdr:col>20</xdr:col>
      <xdr:colOff>544512</xdr:colOff>
      <xdr:row>22</xdr:row>
      <xdr:rowOff>74612</xdr:rowOff>
    </xdr:to>
    <xdr:graphicFrame macro="">
      <xdr:nvGraphicFramePr>
        <xdr:cNvPr id="10" name="Γράφημα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</xdr:colOff>
      <xdr:row>24</xdr:row>
      <xdr:rowOff>171450</xdr:rowOff>
    </xdr:from>
    <xdr:to>
      <xdr:col>20</xdr:col>
      <xdr:colOff>400050</xdr:colOff>
      <xdr:row>47</xdr:row>
      <xdr:rowOff>0</xdr:rowOff>
    </xdr:to>
    <xdr:graphicFrame macro="">
      <xdr:nvGraphicFramePr>
        <xdr:cNvPr id="11" name="Γράφημα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zoomScale="120" zoomScaleNormal="120" workbookViewId="0">
      <selection activeCell="E3" sqref="E3:E14"/>
    </sheetView>
  </sheetViews>
  <sheetFormatPr defaultRowHeight="15" x14ac:dyDescent="0.25"/>
  <cols>
    <col min="1" max="1" width="21" customWidth="1"/>
    <col min="2" max="2" width="10.28515625" bestFit="1" customWidth="1"/>
    <col min="4" max="4" width="10.28515625" customWidth="1"/>
    <col min="5" max="5" width="10" customWidth="1"/>
  </cols>
  <sheetData>
    <row r="1" spans="1:5" x14ac:dyDescent="0.25">
      <c r="A1" s="3" t="s">
        <v>23</v>
      </c>
      <c r="B1" s="4"/>
      <c r="C1" s="4"/>
      <c r="D1" s="4"/>
    </row>
    <row r="2" spans="1:5" x14ac:dyDescent="0.25">
      <c r="A2" t="s">
        <v>12</v>
      </c>
      <c r="B2" t="s">
        <v>13</v>
      </c>
      <c r="C2" t="s">
        <v>18</v>
      </c>
      <c r="D2" t="s">
        <v>19</v>
      </c>
    </row>
    <row r="3" spans="1:5" x14ac:dyDescent="0.25">
      <c r="A3" t="s">
        <v>0</v>
      </c>
      <c r="B3" s="1">
        <v>100</v>
      </c>
      <c r="C3" s="1">
        <v>90</v>
      </c>
      <c r="D3" s="2">
        <f>B3-C3</f>
        <v>10</v>
      </c>
      <c r="E3" t="str">
        <f>IF(B3:B14&gt;=C3:C14,"Πλεόνασμα","Έλλειμα")</f>
        <v>Πλεόνασμα</v>
      </c>
    </row>
    <row r="4" spans="1:5" x14ac:dyDescent="0.25">
      <c r="A4" t="s">
        <v>1</v>
      </c>
      <c r="B4" s="1">
        <v>110</v>
      </c>
      <c r="C4" s="1">
        <v>120</v>
      </c>
      <c r="D4" s="2">
        <f>B4-C4</f>
        <v>-10</v>
      </c>
      <c r="E4" t="str">
        <f t="shared" ref="E4:E14" si="0">IF(B4:B15&gt;=C4:C15,"Πλεόνασμα","Έλλειμα")</f>
        <v>Έλλειμα</v>
      </c>
    </row>
    <row r="5" spans="1:5" x14ac:dyDescent="0.25">
      <c r="A5" t="s">
        <v>2</v>
      </c>
      <c r="B5" s="1">
        <v>90</v>
      </c>
      <c r="C5" s="1">
        <v>105</v>
      </c>
      <c r="D5" s="2">
        <f t="shared" ref="D5:D19" si="1">B5-C5</f>
        <v>-15</v>
      </c>
      <c r="E5" t="str">
        <f t="shared" si="0"/>
        <v>Έλλειμα</v>
      </c>
    </row>
    <row r="6" spans="1:5" x14ac:dyDescent="0.25">
      <c r="A6" t="s">
        <v>3</v>
      </c>
      <c r="B6" s="1">
        <v>85</v>
      </c>
      <c r="C6" s="1">
        <v>100</v>
      </c>
      <c r="D6" s="2">
        <f t="shared" si="1"/>
        <v>-15</v>
      </c>
      <c r="E6" t="str">
        <f t="shared" si="0"/>
        <v>Έλλειμα</v>
      </c>
    </row>
    <row r="7" spans="1:5" x14ac:dyDescent="0.25">
      <c r="A7" t="s">
        <v>4</v>
      </c>
      <c r="B7" s="1">
        <v>100</v>
      </c>
      <c r="C7" s="1">
        <v>100</v>
      </c>
      <c r="D7" s="2">
        <f t="shared" si="1"/>
        <v>0</v>
      </c>
      <c r="E7" t="str">
        <f t="shared" si="0"/>
        <v>Πλεόνασμα</v>
      </c>
    </row>
    <row r="8" spans="1:5" x14ac:dyDescent="0.25">
      <c r="A8" t="s">
        <v>5</v>
      </c>
      <c r="B8" s="1">
        <v>120</v>
      </c>
      <c r="C8" s="1">
        <v>80</v>
      </c>
      <c r="D8" s="2">
        <f t="shared" si="1"/>
        <v>40</v>
      </c>
      <c r="E8" t="str">
        <f t="shared" si="0"/>
        <v>Πλεόνασμα</v>
      </c>
    </row>
    <row r="9" spans="1:5" x14ac:dyDescent="0.25">
      <c r="A9" t="s">
        <v>6</v>
      </c>
      <c r="B9" s="1">
        <v>100</v>
      </c>
      <c r="C9" s="1">
        <v>90</v>
      </c>
      <c r="D9" s="2">
        <f t="shared" si="1"/>
        <v>10</v>
      </c>
      <c r="E9" t="str">
        <f t="shared" si="0"/>
        <v>Πλεόνασμα</v>
      </c>
    </row>
    <row r="10" spans="1:5" x14ac:dyDescent="0.25">
      <c r="A10" t="s">
        <v>7</v>
      </c>
      <c r="B10" s="1">
        <v>95</v>
      </c>
      <c r="C10" s="1">
        <v>100</v>
      </c>
      <c r="D10" s="2">
        <f t="shared" si="1"/>
        <v>-5</v>
      </c>
      <c r="E10" t="str">
        <f t="shared" si="0"/>
        <v>Έλλειμα</v>
      </c>
    </row>
    <row r="11" spans="1:5" x14ac:dyDescent="0.25">
      <c r="A11" t="s">
        <v>8</v>
      </c>
      <c r="B11" s="1">
        <v>100</v>
      </c>
      <c r="C11" s="1">
        <v>110</v>
      </c>
      <c r="D11" s="2">
        <f t="shared" si="1"/>
        <v>-10</v>
      </c>
      <c r="E11" t="str">
        <f t="shared" si="0"/>
        <v>Έλλειμα</v>
      </c>
    </row>
    <row r="12" spans="1:5" x14ac:dyDescent="0.25">
      <c r="A12" t="s">
        <v>9</v>
      </c>
      <c r="B12" s="1">
        <v>100</v>
      </c>
      <c r="C12" s="1">
        <v>80</v>
      </c>
      <c r="D12" s="2">
        <f t="shared" si="1"/>
        <v>20</v>
      </c>
      <c r="E12" t="str">
        <f t="shared" si="0"/>
        <v>Πλεόνασμα</v>
      </c>
    </row>
    <row r="13" spans="1:5" x14ac:dyDescent="0.25">
      <c r="A13" t="s">
        <v>10</v>
      </c>
      <c r="B13" s="1">
        <v>80</v>
      </c>
      <c r="C13" s="1">
        <v>80</v>
      </c>
      <c r="D13" s="2">
        <f t="shared" si="1"/>
        <v>0</v>
      </c>
      <c r="E13" t="str">
        <f t="shared" si="0"/>
        <v>Πλεόνασμα</v>
      </c>
    </row>
    <row r="14" spans="1:5" x14ac:dyDescent="0.25">
      <c r="A14" t="s">
        <v>11</v>
      </c>
      <c r="B14" s="1">
        <v>120</v>
      </c>
      <c r="C14" s="1">
        <v>90</v>
      </c>
      <c r="D14" s="2">
        <f t="shared" si="1"/>
        <v>30</v>
      </c>
      <c r="E14" t="str">
        <f t="shared" si="0"/>
        <v>Πλεόνασμα</v>
      </c>
    </row>
    <row r="15" spans="1:5" x14ac:dyDescent="0.25">
      <c r="B15" s="1"/>
      <c r="C15" s="1"/>
      <c r="D15" s="1"/>
    </row>
    <row r="16" spans="1:5" x14ac:dyDescent="0.25">
      <c r="A16" t="s">
        <v>14</v>
      </c>
      <c r="B16" s="1">
        <f>SUM(B3:B5)</f>
        <v>300</v>
      </c>
      <c r="C16" s="1">
        <f>SUM(C3:C5)</f>
        <v>315</v>
      </c>
      <c r="D16" s="2">
        <f t="shared" si="1"/>
        <v>-15</v>
      </c>
    </row>
    <row r="17" spans="1:4" x14ac:dyDescent="0.25">
      <c r="A17" t="s">
        <v>15</v>
      </c>
      <c r="B17" s="1">
        <f>SUM(B6:B8)</f>
        <v>305</v>
      </c>
      <c r="C17" s="1">
        <f>SUM(C6:C8)</f>
        <v>280</v>
      </c>
      <c r="D17" s="2">
        <f t="shared" si="1"/>
        <v>25</v>
      </c>
    </row>
    <row r="18" spans="1:4" x14ac:dyDescent="0.25">
      <c r="A18" t="s">
        <v>17</v>
      </c>
      <c r="B18" s="1">
        <f>SUM(B9:B11)</f>
        <v>295</v>
      </c>
      <c r="C18" s="1">
        <f>SUM(C9:C11)</f>
        <v>300</v>
      </c>
      <c r="D18" s="2">
        <f t="shared" si="1"/>
        <v>-5</v>
      </c>
    </row>
    <row r="19" spans="1:4" x14ac:dyDescent="0.25">
      <c r="A19" t="s">
        <v>16</v>
      </c>
      <c r="B19" s="1">
        <f>B12+B13+B14</f>
        <v>300</v>
      </c>
      <c r="C19" s="1">
        <f>C12+C13+C14</f>
        <v>250</v>
      </c>
      <c r="D19" s="2">
        <f t="shared" si="1"/>
        <v>50</v>
      </c>
    </row>
    <row r="20" spans="1:4" x14ac:dyDescent="0.25">
      <c r="A20" t="s">
        <v>20</v>
      </c>
      <c r="B20" s="2">
        <f>AVERAGE(B3:B14)</f>
        <v>100</v>
      </c>
      <c r="C20" s="2">
        <f t="shared" ref="C20:D20" si="2">AVERAGE(C3:C14)</f>
        <v>95.416666666666671</v>
      </c>
      <c r="D20" s="2">
        <f t="shared" si="2"/>
        <v>4.583333333333333</v>
      </c>
    </row>
    <row r="21" spans="1:4" x14ac:dyDescent="0.25">
      <c r="A21" t="s">
        <v>21</v>
      </c>
      <c r="B21" s="2">
        <f>MAX(B3:B14)</f>
        <v>120</v>
      </c>
      <c r="C21" s="2">
        <f t="shared" ref="C21:D21" si="3">MAX(C3:C14)</f>
        <v>120</v>
      </c>
      <c r="D21" s="2">
        <f t="shared" si="3"/>
        <v>40</v>
      </c>
    </row>
    <row r="22" spans="1:4" x14ac:dyDescent="0.25">
      <c r="A22" t="s">
        <v>22</v>
      </c>
      <c r="B22" s="2">
        <f>MIN(B3:B14)</f>
        <v>80</v>
      </c>
      <c r="C22" s="2">
        <f t="shared" ref="C22:D22" si="4">MIN(C3:C14)</f>
        <v>80</v>
      </c>
      <c r="D22" s="2">
        <f t="shared" si="4"/>
        <v>-15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Συναρτήσεις</dc:title>
  <dc:creator>student</dc:creator>
  <cp:lastModifiedBy>student</cp:lastModifiedBy>
  <dcterms:created xsi:type="dcterms:W3CDTF">2024-11-21T16:51:39Z</dcterms:created>
  <dcterms:modified xsi:type="dcterms:W3CDTF">2024-12-05T15:54:22Z</dcterms:modified>
</cp:coreProperties>
</file>