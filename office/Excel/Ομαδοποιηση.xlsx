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1075" windowHeight="6735"/>
  </bookViews>
  <sheets>
    <sheet name="Φύλλο1" sheetId="1" r:id="rId1"/>
    <sheet name="Φύλλο2" sheetId="2" r:id="rId2"/>
    <sheet name="Φύλλο3" sheetId="3" r:id="rId3"/>
  </sheets>
  <calcPr calcId="145621"/>
  <pivotCaches>
    <pivotCache cacheId="9" r:id="rId4"/>
  </pivotCaches>
</workbook>
</file>

<file path=xl/calcChain.xml><?xml version="1.0" encoding="utf-8"?>
<calcChain xmlns="http://schemas.openxmlformats.org/spreadsheetml/2006/main">
  <c r="F2" i="1" l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2" i="1"/>
</calcChain>
</file>

<file path=xl/sharedStrings.xml><?xml version="1.0" encoding="utf-8"?>
<sst xmlns="http://schemas.openxmlformats.org/spreadsheetml/2006/main" count="25" uniqueCount="15">
  <si>
    <t>Πωλήσεις</t>
  </si>
  <si>
    <t>ΦΠΑ</t>
  </si>
  <si>
    <t>Έτος</t>
  </si>
  <si>
    <t>Ποσότητα</t>
  </si>
  <si>
    <t>Τιμή</t>
  </si>
  <si>
    <t>Προϊόν</t>
  </si>
  <si>
    <t>Προϊόν A</t>
  </si>
  <si>
    <t>Προϊόν B</t>
  </si>
  <si>
    <t>Προϊόν C</t>
  </si>
  <si>
    <t>Ετικέτες γραμμής</t>
  </si>
  <si>
    <t>Γενικό Άθροισμα</t>
  </si>
  <si>
    <t>Άθροισμα από Πωλήσεις</t>
  </si>
  <si>
    <t>ΕΤΟΣ</t>
  </si>
  <si>
    <t>Άθροισμα από Ποσότητα</t>
  </si>
  <si>
    <t>ΠΡΟΙΟΝ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</si>
</sst>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NumberFormat="1"/>
  </cellXfs>
  <cellStyles count="1">
    <cellStyle name="Κανονικό" xfId="0" builtinId="0"/>
  </cellStyles>
  <dxfs count="5">
    <dxf>
      <numFmt numFmtId="164" formatCode="#,##0.00\ &quot;€&quot;"/>
    </dxf>
    <dxf>
      <numFmt numFmtId="164" formatCode="#,##0.00\ &quot;€&quot;"/>
    </dxf>
    <dxf>
      <numFmt numFmtId="0" formatCode="General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[Ομαδοποιηση.xlsx]Φύλλο1!Συγκεντρωτικός Πίνακας1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l-GR"/>
              <a:t>ΠΩΛΗΣΕΙΣ</a:t>
            </a:r>
            <a:r>
              <a:rPr lang="el-GR" baseline="0"/>
              <a:t> - ΕΤΟΣ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Φύλλο1!$B$13</c:f>
              <c:strCache>
                <c:ptCount val="1"/>
                <c:pt idx="0">
                  <c:v>Άθροισμα</c:v>
                </c:pt>
              </c:strCache>
            </c:strRef>
          </c:tx>
          <c:marker>
            <c:symbol val="none"/>
          </c:marker>
          <c:cat>
            <c:strRef>
              <c:f>Φύλλο1!$A$14:$A$16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Φύλλο1!$B$14:$B$16</c:f>
              <c:numCache>
                <c:formatCode>#,##0.00\ "€"</c:formatCode>
                <c:ptCount val="3"/>
                <c:pt idx="0">
                  <c:v>660</c:v>
                </c:pt>
                <c:pt idx="1">
                  <c:v>1400</c:v>
                </c:pt>
                <c:pt idx="2">
                  <c:v>2300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90208"/>
        <c:axId val="172591744"/>
      </c:lineChart>
      <c:catAx>
        <c:axId val="17259020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l-GR"/>
          </a:p>
        </c:txPr>
        <c:crossAx val="172591744"/>
        <c:crosses val="autoZero"/>
        <c:auto val="1"/>
        <c:lblAlgn val="ctr"/>
        <c:lblOffset val="100"/>
        <c:noMultiLvlLbl val="0"/>
      </c:catAx>
      <c:valAx>
        <c:axId val="172591744"/>
        <c:scaling>
          <c:orientation val="minMax"/>
        </c:scaling>
        <c:delete val="0"/>
        <c:axPos val="l"/>
        <c:majorGridlines/>
        <c:numFmt formatCode="#,##0.00\ &quot;€&quot;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l-GR"/>
          </a:p>
        </c:txPr>
        <c:crossAx val="1725902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el-G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[Ομαδοποιηση.xlsx]Φύλλο1!Συγκεντρωτικός Πίνακας3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l-GR"/>
              <a:t>ΠΩΛΗΣΕΙΣ</a:t>
            </a:r>
            <a:r>
              <a:rPr lang="el-GR" baseline="0"/>
              <a:t> - ΠΡΟΙΟΝ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numFmt formatCode="0.00%" sourceLinked="0"/>
          <c:spPr/>
          <c:txPr>
            <a:bodyPr/>
            <a:lstStyle/>
            <a:p>
              <a:pPr>
                <a:defRPr sz="1400"/>
              </a:pPr>
              <a:endParaRPr lang="el-G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2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Φύλλο1!$B$17</c:f>
              <c:strCache>
                <c:ptCount val="1"/>
                <c:pt idx="0">
                  <c:v>Άθροισμα</c:v>
                </c:pt>
              </c:strCache>
            </c:strRef>
          </c:tx>
          <c:dLbls>
            <c:numFmt formatCode="0.00%" sourceLinked="0"/>
            <c:spPr/>
            <c:txPr>
              <a:bodyPr/>
              <a:lstStyle/>
              <a:p>
                <a:pPr>
                  <a:defRPr sz="1400"/>
                </a:pPr>
                <a:endParaRPr lang="el-G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Φύλλο1!$A$18:$A$20</c:f>
              <c:strCache>
                <c:ptCount val="3"/>
                <c:pt idx="0">
                  <c:v>Προϊόν A</c:v>
                </c:pt>
                <c:pt idx="1">
                  <c:v>Προϊόν B</c:v>
                </c:pt>
                <c:pt idx="2">
                  <c:v>Προϊόν C</c:v>
                </c:pt>
              </c:strCache>
            </c:strRef>
          </c:cat>
          <c:val>
            <c:numRef>
              <c:f>Φύλλο1!$B$18:$B$20</c:f>
              <c:numCache>
                <c:formatCode>#,##0.00\ "€"</c:formatCode>
                <c:ptCount val="3"/>
                <c:pt idx="0">
                  <c:v>860</c:v>
                </c:pt>
                <c:pt idx="1">
                  <c:v>1800</c:v>
                </c:pt>
                <c:pt idx="2">
                  <c:v>1700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80805049583394351"/>
          <c:y val="0.40370092775836175"/>
          <c:w val="0.18050458284989054"/>
          <c:h val="0.30936993838337051"/>
        </c:manualLayout>
      </c:layout>
      <c:overlay val="0"/>
      <c:txPr>
        <a:bodyPr/>
        <a:lstStyle/>
        <a:p>
          <a:pPr>
            <a:defRPr sz="1400"/>
          </a:pPr>
          <a:endParaRPr lang="el-G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</xdr:colOff>
      <xdr:row>11</xdr:row>
      <xdr:rowOff>19051</xdr:rowOff>
    </xdr:from>
    <xdr:to>
      <xdr:col>14</xdr:col>
      <xdr:colOff>266699</xdr:colOff>
      <xdr:row>30</xdr:row>
      <xdr:rowOff>133351</xdr:rowOff>
    </xdr:to>
    <xdr:graphicFrame macro="">
      <xdr:nvGraphicFramePr>
        <xdr:cNvPr id="2" name="Γράφημα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285749</xdr:colOff>
      <xdr:row>11</xdr:row>
      <xdr:rowOff>142875</xdr:rowOff>
    </xdr:from>
    <xdr:to>
      <xdr:col>25</xdr:col>
      <xdr:colOff>238124</xdr:colOff>
      <xdr:row>30</xdr:row>
      <xdr:rowOff>85725</xdr:rowOff>
    </xdr:to>
    <xdr:graphicFrame macro="">
      <xdr:nvGraphicFramePr>
        <xdr:cNvPr id="3" name="Γράφημα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tudent" refreshedDate="45631.773316203704" createdVersion="4" refreshedVersion="4" minRefreshableVersion="3" recordCount="8">
  <cacheSource type="worksheet">
    <worksheetSource ref="A1:F9" sheet="Φύλλο1"/>
  </cacheSource>
  <cacheFields count="6">
    <cacheField name="Προϊόν" numFmtId="0">
      <sharedItems count="3">
        <s v="Προϊόν A"/>
        <s v="Προϊόν B"/>
        <s v="Προϊόν C"/>
      </sharedItems>
    </cacheField>
    <cacheField name="Τιμή" numFmtId="164">
      <sharedItems containsSemiMixedTypes="0" containsString="0" containsNumber="1" containsInteger="1" minValue="30" maxValue="400"/>
    </cacheField>
    <cacheField name="Ποσότητα" numFmtId="0">
      <sharedItems containsSemiMixedTypes="0" containsString="0" containsNumber="1" containsInteger="1" minValue="2" maxValue="10"/>
    </cacheField>
    <cacheField name="Έτος" numFmtId="0">
      <sharedItems containsSemiMixedTypes="0" containsString="0" containsNumber="1" containsInteger="1" minValue="2022" maxValue="2024" count="3">
        <n v="2023"/>
        <n v="2022"/>
        <n v="2024"/>
      </sharedItems>
    </cacheField>
    <cacheField name="Πωλήσεις" numFmtId="164">
      <sharedItems containsSemiMixedTypes="0" containsString="0" containsNumber="1" containsInteger="1" minValue="300" maxValue="1200" count="6">
        <n v="500"/>
        <n v="360"/>
        <n v="300"/>
        <n v="400"/>
        <n v="800"/>
        <n v="1200"/>
      </sharedItems>
    </cacheField>
    <cacheField name="ΦΠΑ" numFmtId="164">
      <sharedItems containsSemiMixedTypes="0" containsString="0" containsNumber="1" minValue="54" maxValue="2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n v="100"/>
    <n v="5"/>
    <x v="0"/>
    <x v="0"/>
    <n v="90"/>
  </r>
  <r>
    <x v="0"/>
    <n v="90"/>
    <n v="4"/>
    <x v="1"/>
    <x v="1"/>
    <n v="64.8"/>
  </r>
  <r>
    <x v="1"/>
    <n v="150"/>
    <n v="2"/>
    <x v="1"/>
    <x v="2"/>
    <n v="54"/>
  </r>
  <r>
    <x v="2"/>
    <n v="50"/>
    <n v="10"/>
    <x v="0"/>
    <x v="0"/>
    <n v="90"/>
  </r>
  <r>
    <x v="1"/>
    <n v="40"/>
    <n v="10"/>
    <x v="0"/>
    <x v="3"/>
    <n v="72"/>
  </r>
  <r>
    <x v="1"/>
    <n v="400"/>
    <n v="2"/>
    <x v="2"/>
    <x v="4"/>
    <n v="144"/>
  </r>
  <r>
    <x v="2"/>
    <n v="120"/>
    <n v="10"/>
    <x v="2"/>
    <x v="5"/>
    <n v="216"/>
  </r>
  <r>
    <x v="1"/>
    <n v="30"/>
    <n v="10"/>
    <x v="2"/>
    <x v="2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Συγκεντρωτικός Πίνακας4" cacheId="9" applyNumberFormats="0" applyBorderFormats="0" applyFontFormats="0" applyPatternFormats="0" applyAlignmentFormats="0" applyWidthHeightFormats="1" dataCaption="Τιμές" updatedVersion="4" minRefreshableVersion="3" useAutoFormatting="1" itemPrintTitles="1" createdVersion="4" indent="0" outline="1" outlineData="1" multipleFieldFilters="0" chartFormat="1">
  <location ref="A21:C25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numFmtId="164" showAll="0"/>
    <pivotField dataField="1" showAll="0"/>
    <pivotField axis="axisRow" showAll="0">
      <items count="4">
        <item sd="0" x="1"/>
        <item sd="0" x="0"/>
        <item sd="0" x="2"/>
        <item t="default"/>
      </items>
    </pivotField>
    <pivotField dataField="1" numFmtId="164" showAll="0"/>
    <pivotField numFmtId="164" showAll="0"/>
  </pivotFields>
  <rowFields count="2">
    <field x="3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Άθροισμα από Πωλήσεις" fld="4" baseField="0" baseItem="0"/>
    <dataField name="Άθροισμα από Ποσότητα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Συγκεντρωτικός Πίνακας3" cacheId="9" applyNumberFormats="0" applyBorderFormats="0" applyFontFormats="0" applyPatternFormats="0" applyAlignmentFormats="0" applyWidthHeightFormats="1" dataCaption="Τιμές" updatedVersion="4" minRefreshableVersion="3" useAutoFormatting="1" rowGrandTotals="0" itemPrintTitles="1" createdVersion="4" indent="0" outline="1" outlineData="1" multipleFieldFilters="0" chartFormat="1" rowHeaderCaption="ΠΡΟΙΟΝ">
  <location ref="A17:B20" firstHeaderRow="1" firstDataRow="1" firstDataCol="1"/>
  <pivotFields count="6">
    <pivotField axis="axisRow" showAll="0">
      <items count="4">
        <item x="0"/>
        <item x="1"/>
        <item x="2"/>
        <item t="default"/>
      </items>
    </pivotField>
    <pivotField numFmtId="164" showAll="0"/>
    <pivotField showAll="0"/>
    <pivotField showAll="0"/>
    <pivotField dataField="1" numFmtId="164" showAll="0"/>
    <pivotField numFmtId="164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Άθροισμα από Πωλήσεις" fld="4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Συγκεντρωτικός Πίνακας1" cacheId="9" applyNumberFormats="0" applyBorderFormats="0" applyFontFormats="0" applyPatternFormats="0" applyAlignmentFormats="0" applyWidthHeightFormats="1" dataCaption="Τιμές" updatedVersion="4" minRefreshableVersion="3" useAutoFormatting="1" rowGrandTotals="0" itemPrintTitles="1" createdVersion="4" indent="0" outline="1" outlineData="1" multipleFieldFilters="0" chartFormat="1" rowHeaderCaption="ΕΤΟΣ">
  <location ref="A13:B16" firstHeaderRow="1" firstDataRow="1" firstDataCol="1"/>
  <pivotFields count="6">
    <pivotField showAll="0"/>
    <pivotField numFmtId="164"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64" showAll="0">
      <items count="7">
        <item x="2"/>
        <item x="1"/>
        <item x="3"/>
        <item x="0"/>
        <item x="4"/>
        <item x="5"/>
        <item t="default"/>
      </items>
    </pivotField>
    <pivotField numFmtId="164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Άθροισμα από Πωλήσεις" fld="4" baseField="0" baseItem="0" numFmtId="164"/>
  </dataFields>
  <formats count="2">
    <format dxfId="4">
      <pivotArea field="3" type="button" dataOnly="0" labelOnly="1" outline="0" axis="axisRow" fieldPosition="0"/>
    </format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A21" sqref="A21"/>
    </sheetView>
  </sheetViews>
  <sheetFormatPr defaultRowHeight="15" x14ac:dyDescent="0.25"/>
  <cols>
    <col min="1" max="1" width="18.7109375" customWidth="1"/>
    <col min="2" max="2" width="23.42578125" customWidth="1"/>
    <col min="3" max="3" width="23.7109375" customWidth="1"/>
    <col min="4" max="4" width="18.5703125" bestFit="1" customWidth="1"/>
    <col min="5" max="5" width="10" customWidth="1"/>
  </cols>
  <sheetData>
    <row r="1" spans="1: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0</v>
      </c>
      <c r="F1" s="1" t="s">
        <v>1</v>
      </c>
    </row>
    <row r="2" spans="1:6" x14ac:dyDescent="0.25">
      <c r="A2" t="s">
        <v>6</v>
      </c>
      <c r="B2" s="2">
        <v>100</v>
      </c>
      <c r="C2">
        <v>5</v>
      </c>
      <c r="D2">
        <v>2023</v>
      </c>
      <c r="E2" s="2">
        <f>B2*C2</f>
        <v>500</v>
      </c>
      <c r="F2" s="2">
        <f>18%*E2</f>
        <v>90</v>
      </c>
    </row>
    <row r="3" spans="1:6" x14ac:dyDescent="0.25">
      <c r="A3" t="s">
        <v>6</v>
      </c>
      <c r="B3" s="2">
        <v>90</v>
      </c>
      <c r="C3">
        <v>4</v>
      </c>
      <c r="D3">
        <v>2022</v>
      </c>
      <c r="E3" s="2">
        <f t="shared" ref="E3:E9" si="0">B3*C3</f>
        <v>360</v>
      </c>
      <c r="F3" s="2">
        <f>18%*E3</f>
        <v>64.8</v>
      </c>
    </row>
    <row r="4" spans="1:6" x14ac:dyDescent="0.25">
      <c r="A4" t="s">
        <v>7</v>
      </c>
      <c r="B4" s="2">
        <v>150</v>
      </c>
      <c r="C4">
        <v>2</v>
      </c>
      <c r="D4">
        <v>2022</v>
      </c>
      <c r="E4" s="2">
        <f t="shared" si="0"/>
        <v>300</v>
      </c>
      <c r="F4" s="2">
        <f>18%*E4</f>
        <v>54</v>
      </c>
    </row>
    <row r="5" spans="1:6" x14ac:dyDescent="0.25">
      <c r="A5" t="s">
        <v>8</v>
      </c>
      <c r="B5" s="2">
        <v>50</v>
      </c>
      <c r="C5">
        <v>10</v>
      </c>
      <c r="D5">
        <v>2023</v>
      </c>
      <c r="E5" s="2">
        <f t="shared" si="0"/>
        <v>500</v>
      </c>
      <c r="F5" s="2">
        <f>18%*E5</f>
        <v>90</v>
      </c>
    </row>
    <row r="6" spans="1:6" x14ac:dyDescent="0.25">
      <c r="A6" t="s">
        <v>7</v>
      </c>
      <c r="B6" s="2">
        <v>40</v>
      </c>
      <c r="C6">
        <v>10</v>
      </c>
      <c r="D6">
        <v>2023</v>
      </c>
      <c r="E6" s="2">
        <f t="shared" si="0"/>
        <v>400</v>
      </c>
      <c r="F6" s="2">
        <f>18%*E6</f>
        <v>72</v>
      </c>
    </row>
    <row r="7" spans="1:6" x14ac:dyDescent="0.25">
      <c r="A7" t="s">
        <v>7</v>
      </c>
      <c r="B7" s="2">
        <v>400</v>
      </c>
      <c r="C7">
        <v>2</v>
      </c>
      <c r="D7">
        <v>2024</v>
      </c>
      <c r="E7" s="2">
        <f t="shared" si="0"/>
        <v>800</v>
      </c>
      <c r="F7" s="2">
        <f>18%*E7</f>
        <v>144</v>
      </c>
    </row>
    <row r="8" spans="1:6" x14ac:dyDescent="0.25">
      <c r="A8" t="s">
        <v>8</v>
      </c>
      <c r="B8" s="2">
        <v>120</v>
      </c>
      <c r="C8">
        <v>10</v>
      </c>
      <c r="D8">
        <v>2024</v>
      </c>
      <c r="E8" s="2">
        <f t="shared" si="0"/>
        <v>1200</v>
      </c>
      <c r="F8" s="2">
        <f>18%*E8</f>
        <v>216</v>
      </c>
    </row>
    <row r="9" spans="1:6" x14ac:dyDescent="0.25">
      <c r="A9" t="s">
        <v>7</v>
      </c>
      <c r="B9" s="2">
        <v>30</v>
      </c>
      <c r="C9">
        <v>10</v>
      </c>
      <c r="D9">
        <v>2024</v>
      </c>
      <c r="E9" s="2">
        <f t="shared" si="0"/>
        <v>300</v>
      </c>
      <c r="F9" s="2">
        <f>18%*E9</f>
        <v>54</v>
      </c>
    </row>
    <row r="13" spans="1:6" x14ac:dyDescent="0.25">
      <c r="A13" s="6" t="s">
        <v>12</v>
      </c>
      <c r="B13" t="s">
        <v>11</v>
      </c>
    </row>
    <row r="14" spans="1:6" x14ac:dyDescent="0.25">
      <c r="A14" s="5">
        <v>2022</v>
      </c>
      <c r="B14" s="2">
        <v>660</v>
      </c>
    </row>
    <row r="15" spans="1:6" x14ac:dyDescent="0.25">
      <c r="A15" s="5">
        <v>2023</v>
      </c>
      <c r="B15" s="2">
        <v>1400</v>
      </c>
    </row>
    <row r="16" spans="1:6" x14ac:dyDescent="0.25">
      <c r="A16" s="5">
        <v>2024</v>
      </c>
      <c r="B16" s="2">
        <v>2300</v>
      </c>
    </row>
    <row r="17" spans="1:3" x14ac:dyDescent="0.25">
      <c r="A17" s="4" t="s">
        <v>14</v>
      </c>
      <c r="B17" t="s">
        <v>11</v>
      </c>
    </row>
    <row r="18" spans="1:3" x14ac:dyDescent="0.25">
      <c r="A18" s="5" t="s">
        <v>6</v>
      </c>
      <c r="B18" s="2">
        <v>860</v>
      </c>
    </row>
    <row r="19" spans="1:3" x14ac:dyDescent="0.25">
      <c r="A19" s="5" t="s">
        <v>7</v>
      </c>
      <c r="B19" s="2">
        <v>1800</v>
      </c>
    </row>
    <row r="20" spans="1:3" x14ac:dyDescent="0.25">
      <c r="A20" s="5" t="s">
        <v>8</v>
      </c>
      <c r="B20" s="2">
        <v>1700</v>
      </c>
    </row>
    <row r="21" spans="1:3" x14ac:dyDescent="0.25">
      <c r="A21" s="4" t="s">
        <v>9</v>
      </c>
      <c r="B21" t="s">
        <v>11</v>
      </c>
      <c r="C21" t="s">
        <v>13</v>
      </c>
    </row>
    <row r="22" spans="1:3" x14ac:dyDescent="0.25">
      <c r="A22" s="5">
        <v>2022</v>
      </c>
      <c r="B22" s="3">
        <v>660</v>
      </c>
      <c r="C22" s="3">
        <v>6</v>
      </c>
    </row>
    <row r="23" spans="1:3" x14ac:dyDescent="0.25">
      <c r="A23" s="5">
        <v>2023</v>
      </c>
      <c r="B23" s="3">
        <v>1400</v>
      </c>
      <c r="C23" s="3">
        <v>25</v>
      </c>
    </row>
    <row r="24" spans="1:3" x14ac:dyDescent="0.25">
      <c r="A24" s="5">
        <v>2024</v>
      </c>
      <c r="B24" s="3">
        <v>2300</v>
      </c>
      <c r="C24" s="3">
        <v>22</v>
      </c>
    </row>
    <row r="25" spans="1:3" x14ac:dyDescent="0.25">
      <c r="A25" s="5" t="s">
        <v>10</v>
      </c>
      <c r="B25" s="3">
        <v>4360</v>
      </c>
      <c r="C25" s="3">
        <v>53</v>
      </c>
    </row>
  </sheetData>
  <pageMargins left="0.7" right="0.7" top="0.75" bottom="0.75" header="0.3" footer="0.3"/>
  <pageSetup paperSize="9" orientation="portrait" horizontalDpi="300" verticalDpi="0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2024-12-05T15:54:54Z</dcterms:created>
  <dcterms:modified xsi:type="dcterms:W3CDTF">2024-12-05T17:15:46Z</dcterms:modified>
</cp:coreProperties>
</file>